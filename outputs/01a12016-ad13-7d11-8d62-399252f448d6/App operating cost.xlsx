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1a6ae5d94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3816829e88d94930"/>
    <x:sheet xmlns:r="http://schemas.openxmlformats.org/officeDocument/2006/relationships" name="Inputs" sheetId="2" r:id="R8198fec0cff1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0"/>
    <x:numFmt numFmtId="202" formatCode="#,##0;(#,##0);&quot;–&quot;"/>
    <x:numFmt numFmtId="203" formatCode="&quot;₹&quot;0.00"/>
    <x:numFmt numFmtId="204" formatCode="&quot;₹&quot;0.000"/>
  </x:numFmts>
  <x:fonts count="14">
    <x:font>
      <x:sz val="11"/>
      <x:name val="Carlito"/>
    </x:font>
    <x:font>
      <x:b/>
      <x:sz val="11"/>
      <x:name val="Carlito"/>
    </x:font>
    <x:font>
      <x:sz val="11"/>
      <x:color rgb="FF1859B7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b/>
      <x:sz val="11"/>
      <x:name val="Arial"/>
    </x:font>
    <x:font>
      <x:sz val="11"/>
      <x:color rgb="FF1859B7"/>
      <x:name val="Arial"/>
    </x:font>
    <x:font>
      <x:b/>
      <x:sz val="10"/>
      <x:name val="Arial"/>
    </x:font>
    <x:font>
      <x:sz val="10"/>
      <x:color rgb="FF1859B7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4E9EF"/>
      </x:patternFill>
    </x:fill>
    <x:fill>
      <x:patternFill patternType="solid">
        <x:fgColor rgb="FFFFF2CC"/>
      </x:patternFill>
    </x:fill>
    <x:fill>
      <x:patternFill patternType="solid">
        <x:fgColor rgb="FFFDE0DA"/>
      </x:patternFill>
    </x:fill>
    <x:fill>
      <x:patternFill patternType="solid">
        <x:fgColor rgb="FF23364A"/>
      </x:patternFill>
    </x:fill>
    <x:fill>
      <x:patternFill patternType="solid">
        <x:fgColor rgb="FFE6EF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23364A"/>
      </x:bottom>
      <x:diagonal/>
    </x:border>
    <x:border>
      <x:left/>
      <x:right/>
      <x:top style="thin">
        <x:color rgb="FFCBD5E1"/>
      </x:top>
      <x:bottom/>
      <x:diagonal/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3" fillId="2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201" fontId="8" fillId="3" borderId="0" xfId="0" applyNumberFormat="1" applyFont="1" applyFill="1" applyBorder="1"/>
    <x:xf numFmtId="0" fontId="8" fillId="4" borderId="0" xfId="0" applyNumberFormat="1" applyFont="1" applyFill="1" applyBorder="1"/>
    <x:xf numFmtId="0" fontId="9" fillId="2" borderId="0" xfId="0" applyNumberFormat="1" applyFont="1" applyFill="1" applyBorder="1"/>
    <x:xf numFmtId="0" fontId="4" fillId="2" borderId="0" xfId="0" applyNumberFormat="1" applyFont="1" applyFill="1" applyBorder="1"/>
    <x:xf numFmtId="0" fontId="10" fillId="3" borderId="0" xfId="0" applyNumberFormat="1" applyFont="1" applyFill="1" applyBorder="1"/>
    <x:xf numFmtId="200" fontId="10" fillId="3" borderId="0" xfId="0" applyNumberFormat="1" applyFont="1" applyFill="1" applyBorder="1"/>
    <x:xf numFmtId="201" fontId="10" fillId="3" borderId="0" xfId="0" applyNumberFormat="1" applyFont="1" applyFill="1" applyBorder="1"/>
    <x:xf numFmtId="0" fontId="10" fillId="4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200" fontId="10" fillId="3" borderId="0" xfId="0" applyNumberFormat="1" applyFont="1" applyFill="1" applyBorder="1" applyAlignment="1">
      <x:alignment vertical="center"/>
    </x:xf>
    <x:xf numFmtId="201" fontId="10" fillId="3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11" fillId="5" borderId="0" xfId="0" applyNumberFormat="1" applyFont="1" applyFill="1" applyBorder="1" applyAlignment="1">
      <x:alignment vertical="center"/>
    </x:xf>
    <x:xf numFmtId="202" fontId="12" fillId="5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2" fontId="9" fillId="0" borderId="2" xfId="0" applyNumberFormat="1" applyFont="1" applyFill="1" applyBorder="1" applyAlignment="1">
      <x:alignment vertical="center"/>
    </x:xf>
    <x:xf numFmtId="0" fontId="9" fillId="6" borderId="2" xfId="0" applyNumberFormat="1" applyFont="1" applyFill="1" applyBorder="1" applyAlignment="1">
      <x:alignment vertical="center"/>
    </x:xf>
    <x:xf numFmtId="202" fontId="9" fillId="6" borderId="2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a25a1762d479a" /><Relationship Type="http://schemas.openxmlformats.org/officeDocument/2006/relationships/theme" Target="/xl/theme/theme1.xml" Id="Re5f3f5bcfb4c42bb" /><Relationship Type="http://schemas.openxmlformats.org/officeDocument/2006/relationships/sharedStrings" Target="/xl/sharedStrings.xml" Id="R09d0e4e1b93b461c" /><Relationship Type="http://schemas.openxmlformats.org/officeDocument/2006/relationships/worksheet" Target="/xl/worksheets/sheet1.xml" Id="R3816829e88d94930" /><Relationship Type="http://schemas.openxmlformats.org/officeDocument/2006/relationships/worksheet" Target="/xl/worksheets/sheet2.xml" Id="R8198fec0cff146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3" hidden="0" customWidth="1"/>
    <x:col min="3" max="3" width="23" hidden="0" customWidth="1"/>
  </x:cols>
  <x:sheetData>
    <x:row r="2" ht="22" customHeight="1">
      <x:c r="A2" s="13" t="str">
        <x:v>App operating cost estimate</x:v>
      </x:c>
      <x:c r="B2" s="14"/>
      <x:c r="C2" s="14"/>
    </x:row>
    <x:row r="3" ht="22" customHeight="1">
      <x:c r="A3" s="10" t="str">
        <x:v>Same full usage in both columns. April uses announced 2027 Flash rates.</x:v>
      </x:c>
      <x:c r="B3" s="10"/>
      <x:c r="C3" s="10"/>
    </x:row>
    <x:row r="4" ht="22" customHeight="1">
      <x:c r="A4" s="10"/>
      <x:c r="B4" s="10"/>
      <x:c r="C4" s="10"/>
    </x:row>
    <x:row r="5" ht="22" customHeight="1">
      <x:c r="A5" s="39" t="str">
        <x:v>Monthly INR</x:v>
      </x:c>
      <x:c r="B5" s="39" t="str">
        <x:v>Oct 2026 prices</x:v>
      </x:c>
      <x:c r="C5" s="39" t="str">
        <x:v>Apr 2027 prices</x:v>
      </x:c>
    </x:row>
    <x:row r="6" ht="22" customHeight="1">
      <x:c r="A6" s="45" t="str">
        <x:v>Service bills incl. tax and FX allowance</x:v>
      </x:c>
      <x:c r="B6" s="46" t="n">
        <x:f>B48</x:f>
        <x:v>119144.7508512</x:v>
      </x:c>
      <x:c r="C6" s="46" t="n">
        <x:f>C48</x:f>
        <x:v>203440.4565762</x:v>
      </x:c>
    </x:row>
    <x:row r="7" ht="22" customHeight="1">
      <x:c r="A7" s="10" t="str">
        <x:v>Maintenance and support incl. tax allowance</x:v>
      </x:c>
      <x:c r="B7" s="33" t="n">
        <x:f>B56</x:f>
        <x:v>36285</x:v>
      </x:c>
      <x:c r="C7" s="33" t="n">
        <x:f>C56</x:f>
        <x:v>36285</x:v>
      </x:c>
    </x:row>
    <x:row r="8" ht="22" customHeight="1">
      <x:c r="A8" s="45" t="str">
        <x:v>Subtotal before gateway fees</x:v>
      </x:c>
      <x:c r="B8" s="46" t="n">
        <x:f>SUM(B6:B7)</x:f>
        <x:v>155429.75085120002</x:v>
      </x:c>
      <x:c r="C8" s="46" t="n">
        <x:f>SUM(C6:C7)</x:f>
        <x:v>239725.4565762</x:v>
      </x:c>
    </x:row>
    <x:row r="9" ht="22" customHeight="1">
      <x:c r="A9" s="10" t="str">
        <x:v>Budget reserve</x:v>
      </x:c>
      <x:c r="B9" s="33" t="n">
        <x:f>B8*'Inputs'!$B$64</x:f>
        <x:v>15542.975085120002</x:v>
      </x:c>
      <x:c r="C9" s="33" t="n">
        <x:f>C8*'Inputs'!$B$64</x:f>
        <x:v>23972.54565762</x:v>
      </x:c>
    </x:row>
    <x:row r="10" ht="22" customHeight="1">
      <x:c r="A10" s="47" t="str">
        <x:v>Planning budget before gateway fees</x:v>
      </x:c>
      <x:c r="B10" s="48" t="n">
        <x:f>SUM(B8:B9)</x:f>
        <x:v>170972.72593632003</x:v>
      </x:c>
      <x:c r="C10" s="48" t="n">
        <x:f>SUM(C8:C9)</x:f>
        <x:v>263698.00223382</x:v>
      </x:c>
    </x:row>
    <x:row r="11" ht="22" customHeight="1">
      <x:c r="A11" s="10" t="str">
        <x:v>Gateway fees incl. GST</x:v>
      </x:c>
      <x:c r="B11" s="33" t="str">
        <x:f>IF(ISNUMBER('Inputs'!$B$65),'Inputs'!$B$65*'Inputs'!$B$66*(1+'Inputs'!$B$67),"n.a.")</x:f>
        <x:v>n.a.</x:v>
      </x:c>
      <x:c r="C11" s="33" t="str">
        <x:f>IF(ISNUMBER('Inputs'!$B$65),'Inputs'!$B$65*'Inputs'!$B$66*(1+'Inputs'!$B$67),"n.a.")</x:f>
        <x:v>n.a.</x:v>
      </x:c>
    </x:row>
    <x:row r="12" ht="22" customHeight="1">
      <x:c r="A12" s="45" t="str">
        <x:v>Complete monthly budget incl. gateway</x:v>
      </x:c>
      <x:c r="B12" s="46" t="str">
        <x:f>IF(ISNUMBER(B11),SUM(B10:B11),"n.a.")</x:f>
        <x:v>n.a.</x:v>
      </x:c>
      <x:c r="C12" s="46" t="str">
        <x:f>IF(ISNUMBER(C11),SUM(C10:C11),"n.a.")</x:f>
        <x:v>n.a.</x:v>
      </x:c>
    </x:row>
    <x:row r="13" ht="22" customHeight="1">
      <x:c r="A13" s="45" t="str">
        <x:v>Annual budget before gateway at full usage</x:v>
      </x:c>
      <x:c r="B13" s="46" t="n">
        <x:f>B10*'Inputs'!$B$81</x:f>
        <x:v>2051672.7112358403</x:v>
      </x:c>
      <x:c r="C13" s="46" t="n">
        <x:f>C10*'Inputs'!$B$81</x:f>
        <x:v>3164376.0268058395</x:v>
      </x:c>
    </x:row>
    <x:row r="14" ht="22" customHeight="1">
      <x:c r="A14" s="10" t="str">
        <x:v>Budget per user query before gateway</x:v>
      </x:c>
      <x:c r="B14" s="34" t="n">
        <x:f>B10/B18</x:f>
        <x:v>1.6283116755840004</x:v>
      </x:c>
      <x:c r="C14" s="34" t="n">
        <x:f>C10/C18</x:f>
        <x:v>2.5114095450839997</x:v>
      </x:c>
    </x:row>
    <x:row r="15" ht="22" customHeight="1">
      <x:c r="A15" s="10"/>
      <x:c r="B15" s="33"/>
      <x:c r="C15" s="33"/>
    </x:row>
    <x:row r="16" ht="22" customHeight="1">
      <x:c r="A16" s="10"/>
      <x:c r="B16" s="33"/>
      <x:c r="C16" s="33"/>
    </x:row>
    <x:row r="17" ht="22" customHeight="1">
      <x:c r="A17" s="39" t="str">
        <x:v>Operating calculations</x:v>
      </x:c>
      <x:c r="B17" s="42"/>
      <x:c r="C17" s="42"/>
    </x:row>
    <x:row r="18" ht="22" customHeight="1">
      <x:c r="A18" s="10" t="str">
        <x:v>User queries per month</x:v>
      </x:c>
      <x:c r="B18" s="33" t="n">
        <x:f>'Inputs'!$B$6*'Inputs'!$B$7*'Inputs'!$B$8</x:f>
        <x:v>105000</x:v>
      </x:c>
      <x:c r="C18" s="33" t="n">
        <x:f>'Inputs'!$B$6*'Inputs'!$B$7*'Inputs'!$B$8</x:f>
        <x:v>105000</x:v>
      </x:c>
    </x:row>
    <x:row r="19" ht="22" customHeight="1">
      <x:c r="A19" s="10" t="str">
        <x:v>Simple generation per query</x:v>
      </x:c>
      <x:c r="B19" s="35" t="n">
        <x:f>'Inputs'!$B$17*'Inputs'!$B$10/'Inputs'!$B$11*(1+'Inputs'!$B$20*('Inputs'!$B$12-1))</x:f>
        <x:v>0.1</x:v>
      </x:c>
      <x:c r="C19" s="35" t="n">
        <x:f>'Inputs'!$B$17*'Inputs'!$B$10/'Inputs'!$B$11*(1+'Inputs'!$B$20*('Inputs'!$B$13-1))</x:f>
        <x:v>0.1</x:v>
      </x:c>
    </x:row>
    <x:row r="20" ht="22" customHeight="1">
      <x:c r="A20" s="10" t="str">
        <x:v>Procedural generation per query</x:v>
      </x:c>
      <x:c r="B20" s="35" t="n">
        <x:f>'Inputs'!$B$18*'Inputs'!$B$10/'Inputs'!$B$11*(1+'Inputs'!$B$21*('Inputs'!$B$12-1))</x:f>
        <x:v>0.6</x:v>
      </x:c>
      <x:c r="C20" s="35" t="n">
        <x:f>'Inputs'!$B$18*'Inputs'!$B$10/'Inputs'!$B$11*(1+'Inputs'!$B$21*('Inputs'!$B$13-1))</x:f>
        <x:v>1.08</x:v>
      </x:c>
    </x:row>
    <x:row r="21" ht="22" customHeight="1">
      <x:c r="A21" s="10" t="str">
        <x:v>Difficult generation per query</x:v>
      </x:c>
      <x:c r="B21" s="35" t="n">
        <x:f>'Inputs'!$B$19*'Inputs'!$B$10/'Inputs'!$B$11*(1+'Inputs'!$B$22*('Inputs'!$B$12-1))</x:f>
        <x:v>1.5</x:v>
      </x:c>
      <x:c r="C21" s="35" t="n">
        <x:f>'Inputs'!$B$19*'Inputs'!$B$10/'Inputs'!$B$11*(1+'Inputs'!$B$22*('Inputs'!$B$13-1))</x:f>
        <x:v>2.8499999999999996</x:v>
      </x:c>
    </x:row>
    <x:row r="22" ht="22" customHeight="1">
      <x:c r="A22" s="10" t="str">
        <x:v>Weighted generation per query</x:v>
      </x:c>
      <x:c r="B22" s="35" t="n">
        <x:f>B19*'Inputs'!$B$14+B20*'Inputs'!$B$15+B21*'Inputs'!$B$16</x:f>
        <x:v>0.7</x:v>
      </x:c>
      <x:c r="C22" s="35" t="n">
        <x:f>C19*'Inputs'!$B$14+C20*'Inputs'!$B$15+C21*'Inputs'!$B$16</x:f>
        <x:v>1.2774999999999999</x:v>
      </x:c>
    </x:row>
    <x:row r="23" ht="22" customHeight="1">
      <x:c r="A23" s="10" t="str">
        <x:v>Generation incl. extra attempts</x:v>
      </x:c>
      <x:c r="B23" s="35" t="n">
        <x:f>B22*(1+'Inputs'!$B$23)</x:f>
        <x:v>0.77</x:v>
      </x:c>
      <x:c r="C23" s="35" t="n">
        <x:f>C22*(1+'Inputs'!$B$23)</x:f>
        <x:v>1.4052499999999999</x:v>
      </x:c>
    </x:row>
    <x:row r="24" ht="22" customHeight="1">
      <x:c r="A24" s="10" t="str">
        <x:v>Total user generation</x:v>
      </x:c>
      <x:c r="B24" s="33" t="n">
        <x:f>B18*B23</x:f>
        <x:v>80850</x:v>
      </x:c>
      <x:c r="C24" s="33" t="n">
        <x:f>C18*C23</x:f>
        <x:v>147551.25</x:v>
      </x:c>
    </x:row>
    <x:row r="25" ht="22" customHeight="1">
      <x:c r="A25" s="10" t="str">
        <x:v>Separate evaluation/test generation</x:v>
      </x:c>
      <x:c r="B25" s="33" t="n">
        <x:f>B24*'Inputs'!$B$24</x:f>
        <x:v>4042.5</x:v>
      </x:c>
      <x:c r="C25" s="33" t="n">
        <x:f>C24*'Inputs'!$B$24</x:f>
        <x:v>7377.5625</x:v>
      </x:c>
    </x:row>
    <x:row r="26" ht="22" customHeight="1">
      <x:c r="A26" s="10" t="str">
        <x:v>Query retrieval embeddings</x:v>
      </x:c>
      <x:c r="B26" s="33" t="n">
        <x:f>B18*'Inputs'!$B$25*'Inputs'!$B$26*'Inputs'!$B$10/1000000</x:f>
        <x:v>378</x:v>
      </x:c>
      <x:c r="C26" s="33" t="n">
        <x:f>C18*'Inputs'!$B$25*'Inputs'!$B$26*'Inputs'!$B$10/1000000</x:f>
        <x:v>378</x:v>
      </x:c>
    </x:row>
    <x:row r="27" ht="22" customHeight="1">
      <x:c r="A27" s="10" t="str">
        <x:v>Jev query and ingestion decisions, if enabled</x:v>
      </x:c>
      <x:c r="B27" s="33" t="n">
        <x:f>(B18*'Inputs'!$B$27+'Inputs'!$B$47*'Inputs'!$B$48*'Inputs'!$B$51*2)*'Inputs'!$B$28*'Inputs'!$B$10/1000000</x:f>
        <x:v>3184.272</x:v>
      </x:c>
      <x:c r="C27" s="33" t="n">
        <x:f>(C18*'Inputs'!$B$27+'Inputs'!$B$47*'Inputs'!$B$48*'Inputs'!$B$51*2)*'Inputs'!$B$28*'Inputs'!$B$10/1000000</x:f>
        <x:v>3184.272</x:v>
      </x:c>
    </x:row>
    <x:row r="28" ht="22" customHeight="1">
      <x:c r="A28" s="10" t="str">
        <x:v>Render API and shared ingestion worker</x:v>
      </x:c>
      <x:c r="B28" s="33" t="n">
        <x:f>'Inputs'!$B$30*'Inputs'!$B$10</x:f>
        <x:v>2250</x:v>
      </x:c>
      <x:c r="C28" s="33" t="n">
        <x:f>'Inputs'!$B$30*'Inputs'!$B$10</x:f>
        <x:v>2250</x:v>
      </x:c>
    </x:row>
    <x:row r="29" ht="22" customHeight="1">
      <x:c r="A29" s="10" t="str">
        <x:v>Supabase Pro and compute</x:v>
      </x:c>
      <x:c r="B29" s="33" t="n">
        <x:f>'Inputs'!$B$31*'Inputs'!$B$10</x:f>
        <x:v>2700</x:v>
      </x:c>
      <x:c r="C29" s="33" t="n">
        <x:f>'Inputs'!$B$31*'Inputs'!$B$10</x:f>
        <x:v>2700</x:v>
      </x:c>
    </x:row>
    <x:row r="30" ht="22" customHeight="1">
      <x:c r="A30" s="10" t="str">
        <x:v>Redis</x:v>
      </x:c>
      <x:c r="B30" s="33" t="n">
        <x:f>'Inputs'!$B$32*'Inputs'!$B$10</x:f>
        <x:v>450</x:v>
      </x:c>
      <x:c r="C30" s="33" t="n">
        <x:f>'Inputs'!$B$32*'Inputs'!$B$10</x:f>
        <x:v>450</x:v>
      </x:c>
    </x:row>
    <x:row r="31" ht="22" customHeight="1">
      <x:c r="A31" s="10" t="str">
        <x:v>R2 originals and backup copies</x:v>
      </x:c>
      <x:c r="B31" s="33" t="n">
        <x:f>MAX(0,'Inputs'!$B$33-'Inputs'!$B$34)*'Inputs'!$B$35*'Inputs'!$B$10</x:f>
        <x:v>121.49999999999999</x:v>
      </x:c>
      <x:c r="C31" s="33" t="n">
        <x:f>MAX(0,'Inputs'!$B$33-'Inputs'!$B$34)*'Inputs'!$B$35*'Inputs'!$B$10</x:f>
        <x:v>121.49999999999999</x:v>
      </x:c>
    </x:row>
    <x:row r="32" ht="22" customHeight="1">
      <x:c r="A32" s="10" t="str">
        <x:v>Database disk above included quota</x:v>
      </x:c>
      <x:c r="B32" s="33" t="n">
        <x:f>MAX(0,'Inputs'!$B$36-'Inputs'!$B$37)*'Inputs'!$B$38*'Inputs'!$B$10</x:f>
        <x:v>0</x:v>
      </x:c>
      <x:c r="C32" s="33" t="n">
        <x:f>MAX(0,'Inputs'!$B$36-'Inputs'!$B$37)*'Inputs'!$B$38*'Inputs'!$B$10</x:f>
        <x:v>0</x:v>
      </x:c>
    </x:row>
    <x:row r="33" ht="22" customHeight="1">
      <x:c r="A33" s="10" t="str">
        <x:v>Database egress above included quota</x:v>
      </x:c>
      <x:c r="B33" s="33" t="n">
        <x:f>MAX(0,'Inputs'!$B$39-'Inputs'!$B$40)*'Inputs'!$B$41*'Inputs'!$B$10</x:f>
        <x:v>0</x:v>
      </x:c>
      <x:c r="C33" s="33" t="n">
        <x:f>MAX(0,'Inputs'!$B$39-'Inputs'!$B$40)*'Inputs'!$B$41*'Inputs'!$B$10</x:f>
        <x:v>0</x:v>
      </x:c>
    </x:row>
    <x:row r="34" ht="22" customHeight="1">
      <x:c r="A34" s="10" t="str">
        <x:v>Logs and uptime monitoring</x:v>
      </x:c>
      <x:c r="B34" s="33" t="n">
        <x:f>'Inputs'!$B$42*'Inputs'!$B$10</x:f>
        <x:v>900</x:v>
      </x:c>
      <x:c r="C34" s="33" t="n">
        <x:f>'Inputs'!$B$42*'Inputs'!$B$10</x:f>
        <x:v>900</x:v>
      </x:c>
    </x:row>
    <x:row r="35" ht="22" customHeight="1">
      <x:c r="A35" s="10" t="str">
        <x:v>Monthly OCR for new documents</x:v>
      </x:c>
      <x:c r="B35" s="33" t="n">
        <x:f>'Inputs'!$B$47*'Inputs'!$B$48*'Inputs'!$B$49*'Inputs'!$B$50*'Inputs'!$B$10/1000</x:f>
        <x:v>135</x:v>
      </x:c>
      <x:c r="C35" s="33" t="n">
        <x:f>'Inputs'!$B$47*'Inputs'!$B$48*'Inputs'!$B$49*'Inputs'!$B$50*'Inputs'!$B$10/1000</x:f>
        <x:v>135</x:v>
      </x:c>
    </x:row>
    <x:row r="36" ht="22" customHeight="1">
      <x:c r="A36" s="10" t="str">
        <x:v>New-document embeddings</x:v>
      </x:c>
      <x:c r="B36" s="33" t="n">
        <x:f>'Inputs'!$B$47*'Inputs'!$B$48*'Inputs'!$B$51*'Inputs'!$B$52*'Inputs'!$B$26*'Inputs'!$B$10/1000000</x:f>
        <x:v>25.92</x:v>
      </x:c>
      <x:c r="C36" s="33" t="n">
        <x:f>'Inputs'!$B$47*'Inputs'!$B$48*'Inputs'!$B$51*'Inputs'!$B$52*'Inputs'!$B$26*'Inputs'!$B$10/1000000</x:f>
        <x:v>25.92</x:v>
      </x:c>
    </x:row>
    <x:row r="37" ht="22" customHeight="1">
      <x:c r="A37" s="10" t="str">
        <x:v>Email delivery</x:v>
      </x:c>
      <x:c r="B37" s="33" t="n">
        <x:f>'Inputs'!$B$9*'Inputs'!$B$58*'Inputs'!$B$59*'Inputs'!$B$10/1000</x:f>
        <x:v>129.6</x:v>
      </x:c>
      <x:c r="C37" s="33" t="n">
        <x:f>'Inputs'!$B$9*'Inputs'!$B$58*'Inputs'!$B$59*'Inputs'!$B$10/1000</x:f>
        <x:v>129.6</x:v>
      </x:c>
    </x:row>
    <x:row r="38" ht="22" customHeight="1">
      <x:c r="A38" s="45" t="str">
        <x:v>USD-priced service subtotal</x:v>
      </x:c>
      <x:c r="B38" s="46" t="n">
        <x:f>SUM(B24:B37)</x:f>
        <x:v>95166.792</x:v>
      </x:c>
      <x:c r="C38" s="46" t="n">
        <x:f>SUM(C24:C37)</x:f>
        <x:v>165203.10450000002</x:v>
      </x:c>
    </x:row>
    <x:row r="39" ht="22" customHeight="1">
      <x:c r="A39" s="10" t="str">
        <x:v>SMS delivery</x:v>
      </x:c>
      <x:c r="B39" s="33" t="n">
        <x:f>'Inputs'!$B$9*'Inputs'!$B$53*'Inputs'!$B$54</x:f>
        <x:v>375</x:v>
      </x:c>
      <x:c r="C39" s="33" t="n">
        <x:f>'Inputs'!$B$9*'Inputs'!$B$53*'Inputs'!$B$54</x:f>
        <x:v>375</x:v>
      </x:c>
    </x:row>
    <x:row r="40" ht="22" customHeight="1">
      <x:c r="A40" s="10" t="str">
        <x:v>WhatsApp delivery and provider</x:v>
      </x:c>
      <x:c r="B40" s="33" t="n">
        <x:f>'Inputs'!$B$9*'Inputs'!$B$55*'Inputs'!$B$56+'Inputs'!$B$57</x:f>
        <x:v>1700</x:v>
      </x:c>
      <x:c r="C40" s="33" t="n">
        <x:f>'Inputs'!$B$9*'Inputs'!$B$55*'Inputs'!$B$56+'Inputs'!$B$57</x:f>
        <x:v>1700</x:v>
      </x:c>
    </x:row>
    <x:row r="41" ht="22" customHeight="1">
      <x:c r="A41" s="10" t="str">
        <x:v>Frontend and analytics</x:v>
      </x:c>
      <x:c r="B41" s="33" t="n">
        <x:f>'Inputs'!$B$60</x:f>
        <x:v>0</x:v>
      </x:c>
      <x:c r="C41" s="33" t="n">
        <x:f>'Inputs'!$B$60</x:f>
        <x:v>0</x:v>
      </x:c>
    </x:row>
    <x:row r="42" ht="22" customHeight="1">
      <x:c r="A42" s="10" t="str">
        <x:v>Bandwidth/build allowance</x:v>
      </x:c>
      <x:c r="B42" s="33" t="n">
        <x:f>'Inputs'!$B$43</x:f>
        <x:v>200</x:v>
      </x:c>
      <x:c r="C42" s="33" t="n">
        <x:f>'Inputs'!$B$43</x:f>
        <x:v>200</x:v>
      </x:c>
    </x:row>
    <x:row r="43" ht="22" customHeight="1">
      <x:c r="A43" s="10" t="str">
        <x:v>Domain renewal monthly allocation</x:v>
      </x:c>
      <x:c r="B43" s="33" t="n">
        <x:f>'Inputs'!$B$44/'Inputs'!$B$81</x:f>
        <x:v>125</x:v>
      </x:c>
      <x:c r="C43" s="33" t="n">
        <x:f>'Inputs'!$B$44/'Inputs'!$B$81</x:f>
        <x:v>125</x:v>
      </x:c>
    </x:row>
    <x:row r="44" ht="22" customHeight="1">
      <x:c r="A44" s="10" t="str">
        <x:v>Bookkeeping/billing allowance</x:v>
      </x:c>
      <x:c r="B44" s="33" t="n">
        <x:f>'Inputs'!$B$45</x:f>
        <x:v>1500</x:v>
      </x:c>
      <x:c r="C44" s="33" t="n">
        <x:f>'Inputs'!$B$45</x:f>
        <x:v>1500</x:v>
      </x:c>
    </x:row>
    <x:row r="45" ht="22" customHeight="1">
      <x:c r="A45" s="45" t="str">
        <x:v>Service subtotal before cash allowances</x:v>
      </x:c>
      <x:c r="B45" s="46" t="n">
        <x:f>SUM(B38:B44)</x:f>
        <x:v>99066.792</x:v>
      </x:c>
      <x:c r="C45" s="46" t="n">
        <x:f>SUM(C38:C44)</x:f>
        <x:v>169103.10450000002</x:v>
      </x:c>
    </x:row>
    <x:row r="46" ht="22" customHeight="1">
      <x:c r="A46" s="10" t="str">
        <x:v>Foreign payment fee allowance</x:v>
      </x:c>
      <x:c r="B46" s="33" t="n">
        <x:f>B38*'Inputs'!$B$62</x:f>
        <x:v>1903.33584</x:v>
      </x:c>
      <x:c r="C46" s="33" t="n">
        <x:f>C38*'Inputs'!$B$62</x:f>
        <x:v>3304.0620900000004</x:v>
      </x:c>
    </x:row>
    <x:row r="47" ht="22" customHeight="1">
      <x:c r="A47" s="10" t="str">
        <x:v>Service tax allowance</x:v>
      </x:c>
      <x:c r="B47" s="33" t="n">
        <x:f>SUM(B45:B46)*'Inputs'!$B$63</x:f>
        <x:v>18174.6230112</x:v>
      </x:c>
      <x:c r="C47" s="33" t="n">
        <x:f>SUM(C45:C46)*'Inputs'!$B$63</x:f>
        <x:v>31033.2899862</x:v>
      </x:c>
    </x:row>
    <x:row r="48" ht="22" customHeight="1">
      <x:c r="A48" s="45" t="str">
        <x:v>Estimated service cash bills</x:v>
      </x:c>
      <x:c r="B48" s="46" t="n">
        <x:f>SUM(B45:B47)</x:f>
        <x:v>119144.7508512</x:v>
      </x:c>
      <x:c r="C48" s="46" t="n">
        <x:f>SUM(C45:C47)</x:f>
        <x:v>203440.4565762</x:v>
      </x:c>
    </x:row>
    <x:row r="49" ht="22" customHeight="1">
      <x:c r="A49" s="10"/>
      <x:c r="B49" s="33"/>
      <x:c r="C49" s="33"/>
    </x:row>
    <x:row r="50" ht="22" customHeight="1">
      <x:c r="A50" s="39" t="str">
        <x:v>Separate people costs</x:v>
      </x:c>
      <x:c r="B50" s="42"/>
      <x:c r="C50" s="42"/>
    </x:row>
    <x:row r="51" ht="22" customHeight="1">
      <x:c r="A51" s="10" t="str">
        <x:v>Technical maintenance</x:v>
      </x:c>
      <x:c r="B51" s="33" t="n">
        <x:f>'Inputs'!$B$69*'Inputs'!$B$70</x:f>
        <x:v>12000</x:v>
      </x:c>
      <x:c r="C51" s="33" t="n">
        <x:f>'Inputs'!$B$69*'Inputs'!$B$70</x:f>
        <x:v>12000</x:v>
      </x:c>
    </x:row>
    <x:row r="52" ht="22" customHeight="1">
      <x:c r="A52" s="10" t="str">
        <x:v>Document curation</x:v>
      </x:c>
      <x:c r="B52" s="33" t="n">
        <x:f>'Inputs'!$B$47*'Inputs'!$B$71*'Inputs'!$B$72/60</x:f>
        <x:v>12500</x:v>
      </x:c>
      <x:c r="C52" s="33" t="n">
        <x:f>'Inputs'!$B$47*'Inputs'!$B$71*'Inputs'!$B$72/60</x:f>
        <x:v>12500</x:v>
      </x:c>
    </x:row>
    <x:row r="53" ht="22" customHeight="1">
      <x:c r="A53" s="10" t="str">
        <x:v>User support</x:v>
      </x:c>
      <x:c r="B53" s="33" t="n">
        <x:f>'Inputs'!$B$9*'Inputs'!$B$73*'Inputs'!$B$74*'Inputs'!$B$75/60</x:f>
        <x:v>6250</x:v>
      </x:c>
      <x:c r="C53" s="33" t="n">
        <x:f>'Inputs'!$B$9*'Inputs'!$B$73*'Inputs'!$B$74*'Inputs'!$B$75/60</x:f>
        <x:v>6250</x:v>
      </x:c>
    </x:row>
    <x:row r="54" ht="22" customHeight="1">
      <x:c r="A54" s="45" t="str">
        <x:v>People subtotal</x:v>
      </x:c>
      <x:c r="B54" s="46" t="n">
        <x:f>SUM(B51:B53)</x:f>
        <x:v>30750</x:v>
      </x:c>
      <x:c r="C54" s="46" t="n">
        <x:f>SUM(C51:C53)</x:f>
        <x:v>30750</x:v>
      </x:c>
    </x:row>
    <x:row r="55" ht="22" customHeight="1">
      <x:c r="A55" s="10" t="str">
        <x:v>Contractor tax allowance</x:v>
      </x:c>
      <x:c r="B55" s="33" t="n">
        <x:f>B54*'Inputs'!$B$76</x:f>
        <x:v>5535</x:v>
      </x:c>
      <x:c r="C55" s="33" t="n">
        <x:f>C54*'Inputs'!$B$76</x:f>
        <x:v>5535</x:v>
      </x:c>
    </x:row>
    <x:row r="56" ht="22" customHeight="1">
      <x:c r="A56" s="45" t="str">
        <x:v>Total people allowance</x:v>
      </x:c>
      <x:c r="B56" s="46" t="n">
        <x:f>SUM(B54:B55)</x:f>
        <x:v>36285</x:v>
      </x:c>
      <x:c r="C56" s="46" t="n">
        <x:f>SUM(C54:C55)</x:f>
        <x:v>36285</x:v>
      </x:c>
    </x:row>
    <x:row r="57" ht="22" customHeight="1">
      <x:c r="A57" s="10"/>
      <x:c r="B57" s="33"/>
      <x:c r="C57" s="33"/>
    </x:row>
    <x:row r="58" ht="22" customHeight="1">
      <x:c r="A58" s="39" t="str">
        <x:v>Initial loading and checks</x:v>
      </x:c>
      <x:c r="B58" s="42"/>
      <x:c r="C58" s="42"/>
    </x:row>
    <x:row r="59" ht="22" customHeight="1">
      <x:c r="A59" s="10" t="str">
        <x:v>Ingestion API cost per 10,000 pages</x:v>
      </x:c>
      <x:c r="B59" s="33" t="n">
        <x:f>(10000*'Inputs'!$B$49*'Inputs'!$B$50/1000+10000*'Inputs'!$B$51*'Inputs'!$B$52*'Inputs'!$B$26/1000000+10000*'Inputs'!$B$51*2*'Inputs'!$B$28/1000000)*'Inputs'!$B$10*(1+'Inputs'!$B$62)*(1+'Inputs'!$B$63)</x:f>
        <x:v>1023.0118559999999</x:v>
      </x:c>
      <x:c r="C59" s="33" t="n">
        <x:f>(10000*'Inputs'!$B$49*'Inputs'!$B$50/1000+10000*'Inputs'!$B$51*'Inputs'!$B$52*'Inputs'!$B$26/1000000+10000*'Inputs'!$B$51*2*'Inputs'!$B$28/1000000)*'Inputs'!$B$10*(1+'Inputs'!$B$62)*(1+'Inputs'!$B$63)</x:f>
        <x:v>1023.0118559999999</x:v>
      </x:c>
    </x:row>
    <x:row r="60" ht="22" customHeight="1">
      <x:c r="A60" s="10" t="str">
        <x:v>Initial ingestion API total</x:v>
      </x:c>
      <x:c r="B60" s="33" t="n">
        <x:f>IF(ISNUMBER('Inputs'!$B$78),'Inputs'!$B$78*B59/10000,"n.a.")</x:f>
        <x:v>1023.0118559999999</x:v>
      </x:c>
      <x:c r="C60" s="33" t="n">
        <x:f>IF(ISNUMBER('Inputs'!$B$78),'Inputs'!$B$78*C59/10000,"n.a.")</x:f>
        <x:v>1023.0118559999999</x:v>
      </x:c>
    </x:row>
    <x:row r="61" ht="22" customHeight="1">
      <x:c r="A61" s="10" t="str">
        <x:v>SMS DLT registration allowance</x:v>
      </x:c>
      <x:c r="B61" s="33" t="n">
        <x:f>'Inputs'!$B$80</x:f>
        <x:v>5900</x:v>
      </x:c>
      <x:c r="C61" s="33" t="n">
        <x:f>'Inputs'!$B$80</x:f>
        <x:v>5900</x:v>
      </x:c>
    </x:row>
    <x:row r="62" ht="22" customHeight="1">
      <x:c r="A62" s="45" t="str">
        <x:v>Initial data/service setup total</x:v>
      </x:c>
      <x:c r="B62" s="46" t="n">
        <x:f>IF(ISNUMBER(B60),SUM(B60:B61,B64),"n.a.")</x:f>
        <x:v>80673.011856</x:v>
      </x:c>
      <x:c r="C62" s="46" t="n">
        <x:f>IF(ISNUMBER(C60),SUM(C60:C61,C64),"n.a.")</x:f>
        <x:v>80673.011856</x:v>
      </x:c>
    </x:row>
    <x:row r="63" ht="22" customHeight="1">
      <x:c r="A63" s="10" t="str">
        <x:v>Query mix total</x:v>
      </x:c>
      <x:c r="B63" s="36" t="n">
        <x:f>SUM('Inputs'!$B$14,'Inputs'!$B$15,'Inputs'!$B$16)</x:f>
        <x:v>1</x:v>
      </x:c>
      <x:c r="C63" s="36" t="n">
        <x:f>SUM('Inputs'!$B$14,'Inputs'!$B$15,'Inputs'!$B$16)</x:f>
        <x:v>1</x:v>
      </x:c>
    </x:row>
    <x:row r="64" ht="22" customHeight="1">
      <x:c r="A64" s="10" t="str">
        <x:v>Initial document curation incl. tax allowance</x:v>
      </x:c>
      <x:c r="B64" s="10" t="n">
        <x:f>'Inputs'!$B$79*'Inputs'!$B$71*'Inputs'!$B$72/60*(1+'Inputs'!$B$76)</x:f>
        <x:v>73750</x:v>
      </x:c>
      <x:c r="C64" s="10" t="n">
        <x:f>'Inputs'!$B$79*'Inputs'!$B$71*'Inputs'!$B$72/60*(1+'Inputs'!$B$76)</x:f>
        <x:v>73750</x:v>
      </x:c>
    </x:row>
    <x:row r="65" ht="22" customHeight="1">
      <x:c r="A65" s="49" t="str">
        <x:v>Missing input: monthly gateway receipts. Initial pages assumed.</x:v>
      </x:c>
      <x:c r="B65" s="10"/>
      <x:c r="C65" s="10"/>
    </x:row>
    <x:row r="66" ht="22" customHeight="1">
      <x:c r="A66" s="49" t="str">
        <x:v>No development cost. No paid staging or redundancy. No formal legal audit.</x:v>
      </x:c>
      <x:c r="B66" s="10"/>
      <x:c r="C66" s="10"/>
    </x:row>
    <x:row r="67" ht="22" customHeight="1">
      <x:c r="A67" s="49" t="str">
        <x:v>Reserve is budget headroom, not a bill. Tax credit is not deducted.</x:v>
      </x:c>
      <x:c r="B67" s="10"/>
      <x:c r="C67" s="10"/>
    </x:row>
    <x:row r="68" ht="22" customHeight="1">
      <x:c r="A68" s="49" t="str">
        <x:v>Retain documents/chat. Storage provision must be checked against actual growth.</x:v>
      </x:c>
      <x:c r="B68" s="10"/>
      <x:c r="C68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8" hidden="0" customWidth="1"/>
    <x:col min="2" max="2" width="15" hidden="0" customWidth="1"/>
    <x:col min="3" max="3" width="3" hidden="0" customWidth="1"/>
    <x:col min="4" max="4" width="3" hidden="0" customWidth="1"/>
    <x:col min="5" max="5" width="84" hidden="0" customWidth="1"/>
    <x:col min="6" max="6" width="88" hidden="0" customWidth="1"/>
  </x:cols>
  <x:sheetData>
    <x:row r="2" ht="22" customHeight="1">
      <x:c r="A2" s="13" t="str">
        <x:v>Editable assumptions and sources</x:v>
      </x:c>
      <x:c r="B2" s="14"/>
      <x:c r="C2" s="14"/>
      <x:c r="D2" s="10"/>
      <x:c r="E2" s="10"/>
      <x:c r="F2" s="10"/>
    </x:row>
    <x:row r="3" ht="22" customHeight="1">
      <x:c r="A3" s="10"/>
      <x:c r="B3" s="10"/>
      <x:c r="C3" s="10"/>
      <x:c r="D3" s="10"/>
      <x:c r="E3" s="10"/>
      <x:c r="F3" s="10"/>
    </x:row>
    <x:row r="4" ht="22" customHeight="1">
      <x:c r="A4" s="39" t="str">
        <x:v>Driver</x:v>
      </x:c>
      <x:c r="B4" s="39" t="str">
        <x:v>Value</x:v>
      </x:c>
      <x:c r="C4" s="10"/>
      <x:c r="D4" s="10"/>
      <x:c r="E4" s="10" t="str">
        <x:v>Source / assumption</x:v>
      </x:c>
      <x:c r="F4" s="10" t="str">
        <x:v>Source URL</x:v>
      </x:c>
    </x:row>
    <x:row r="5" ht="22" customHeight="1">
      <x:c r="A5" s="27" t="str">
        <x:v>Usage and pricing</x:v>
      </x:c>
      <x:c r="B5" s="28"/>
      <x:c r="C5" s="28"/>
      <x:c r="D5" s="10"/>
      <x:c r="E5" s="10"/>
      <x:c r="F5" s="10"/>
    </x:row>
    <x:row r="6" ht="22" customHeight="1">
      <x:c r="A6" s="10" t="str">
        <x:v>Daily active users</x:v>
      </x:c>
      <x:c r="B6" s="29" t="n">
        <x:v>1000</x:v>
      </x:c>
      <x:c r="C6" s="10"/>
      <x:c r="D6" s="10"/>
      <x:c r="E6" s="10" t="str">
        <x:v>User estimate</x:v>
      </x:c>
      <x:c r="F6" s="10"/>
    </x:row>
    <x:row r="7" ht="22" customHeight="1">
      <x:c r="A7" s="10" t="str">
        <x:v>Questions per active user per day</x:v>
      </x:c>
      <x:c r="B7" s="29" t="n">
        <x:v>3.5</x:v>
      </x:c>
      <x:c r="C7" s="10"/>
      <x:c r="D7" s="10"/>
      <x:c r="E7" s="10" t="str">
        <x:v>Midpoint of user range 3–4</x:v>
      </x:c>
      <x:c r="F7" s="10"/>
    </x:row>
    <x:row r="8" ht="22" customHeight="1">
      <x:c r="A8" s="10" t="str">
        <x:v>Days per planning month</x:v>
      </x:c>
      <x:c r="B8" s="29" t="n">
        <x:v>30</x:v>
      </x:c>
      <x:c r="C8" s="10"/>
      <x:c r="D8" s="10"/>
      <x:c r="E8" s="10" t="str">
        <x:v>30-day run rate, not a growth forecast</x:v>
      </x:c>
      <x:c r="F8" s="10"/>
    </x:row>
    <x:row r="9" ht="22" customHeight="1">
      <x:c r="A9" s="10" t="str">
        <x:v>Registered users</x:v>
      </x:c>
      <x:c r="B9" s="29" t="n">
        <x:v>1500</x:v>
      </x:c>
      <x:c r="C9" s="10"/>
      <x:c r="D9" s="10"/>
      <x:c r="E9" s="10" t="str">
        <x:v>Midpoint of 1,000–2,000</x:v>
      </x:c>
      <x:c r="F9" s="10"/>
    </x:row>
    <x:row r="10" ht="22" customHeight="1">
      <x:c r="A10" s="10" t="str">
        <x:v>INR per USD</x:v>
      </x:c>
      <x:c r="B10" s="29" t="n">
        <x:v>90</x:v>
      </x:c>
      <x:c r="C10" s="10"/>
      <x:c r="D10" s="10"/>
      <x:c r="E10" s="10" t="str">
        <x:v>Planning FX, not a spot quote</x:v>
      </x:c>
      <x:c r="F10" s="10"/>
    </x:row>
    <x:row r="11" ht="22" customHeight="1">
      <x:c r="A11" s="10" t="str">
        <x:v>INR per USD used in query estimates</x:v>
      </x:c>
      <x:c r="B11" s="29" t="n">
        <x:v>90</x:v>
      </x:c>
      <x:c r="C11" s="10"/>
      <x:c r="D11" s="10"/>
      <x:c r="E11" s="10" t="str">
        <x:v>Recorded benchmark conversion</x:v>
      </x:c>
      <x:c r="F11" s="10"/>
    </x:row>
    <x:row r="12" ht="22" customHeight="1">
      <x:c r="A12" s="10" t="str">
        <x:v>Flash price multiplier through Dec 2026</x:v>
      </x:c>
      <x:c r="B12" s="29" t="n">
        <x:v>1</x:v>
      </x:c>
      <x:c r="C12" s="10"/>
      <x:c r="D12" s="10"/>
      <x:c r="E12" s="10" t="str">
        <x:v>Google published standard text rates</x:v>
      </x:c>
      <x:c r="F12" s="10" t="str">
        <x:v>https://ai.google.dev/gemini-api/docs/pricing</x:v>
      </x:c>
    </x:row>
    <x:row r="13" ht="22" customHeight="1">
      <x:c r="A13" s="10" t="str">
        <x:v>Flash price multiplier from Jan 2027</x:v>
      </x:c>
      <x:c r="B13" s="29" t="n">
        <x:v>2</x:v>
      </x:c>
      <x:c r="C13" s="10"/>
      <x:c r="D13" s="10"/>
      <x:c r="E13" s="10" t="str">
        <x:v>Announced increase, unchanged token usage</x:v>
      </x:c>
      <x:c r="F13" s="10" t="str">
        <x:v>https://ai.google.dev/gemini-api/docs/pricing</x:v>
      </x:c>
    </x:row>
    <x:row r="14" ht="22" customHeight="1">
      <x:c r="A14" s="10" t="str">
        <x:v>Simple question share</x:v>
      </x:c>
      <x:c r="B14" s="30" t="n">
        <x:v>0.25</x:v>
      </x:c>
      <x:c r="C14" s="10"/>
      <x:c r="D14" s="10"/>
      <x:c r="E14" s="10" t="str">
        <x:v>Assumed mix, not an observed distribution</x:v>
      </x:c>
      <x:c r="F14" s="10"/>
    </x:row>
    <x:row r="15" ht="22" customHeight="1">
      <x:c r="A15" s="10" t="str">
        <x:v>Procedural question share</x:v>
      </x:c>
      <x:c r="B15" s="30" t="n">
        <x:v>0.5</x:v>
      </x:c>
      <x:c r="C15" s="10"/>
      <x:c r="D15" s="10"/>
      <x:c r="E15" s="10" t="str">
        <x:v>Assumed mix, not an observed distribution</x:v>
      </x:c>
      <x:c r="F15" s="10"/>
    </x:row>
    <x:row r="16" ht="22" customHeight="1">
      <x:c r="A16" s="10" t="str">
        <x:v>Difficult question share</x:v>
      </x:c>
      <x:c r="B16" s="30" t="n">
        <x:v>0.25</x:v>
      </x:c>
      <x:c r="C16" s="10"/>
      <x:c r="D16" s="10"/>
      <x:c r="E16" s="10" t="str">
        <x:v>Assumed mix, not an observed distribution</x:v>
      </x:c>
      <x:c r="F16" s="10"/>
    </x:row>
    <x:row r="17" ht="22" customHeight="1">
      <x:c r="A17" s="10" t="str">
        <x:v>Simple query generation INR</x:v>
      </x:c>
      <x:c r="B17" s="31" t="n">
        <x:v>0.1</x:v>
      </x:c>
      <x:c r="C17" s="10"/>
      <x:c r="D17" s="10"/>
      <x:c r="E17" s="10" t="str">
        <x:v>Planning estimate at calibration FX, all generation stages</x:v>
      </x:c>
      <x:c r="F17" s="10"/>
    </x:row>
    <x:row r="18" ht="22" customHeight="1">
      <x:c r="A18" s="10" t="str">
        <x:v>Procedural query generation INR</x:v>
      </x:c>
      <x:c r="B18" s="31" t="n">
        <x:v>0.6</x:v>
      </x:c>
      <x:c r="C18" s="10"/>
      <x:c r="D18" s="10"/>
      <x:c r="E18" s="10" t="str">
        <x:v>Planning estimate from recorded synthetic runs</x:v>
      </x:c>
      <x:c r="F18" s="10"/>
    </x:row>
    <x:row r="19" ht="22" customHeight="1">
      <x:c r="A19" s="10" t="str">
        <x:v>Difficult query generation INR</x:v>
      </x:c>
      <x:c r="B19" s="31" t="n">
        <x:v>1.5</x:v>
      </x:c>
      <x:c r="C19" s="10"/>
      <x:c r="D19" s="10"/>
      <x:c r="E19" s="10" t="str">
        <x:v>Planning estimate, not a hard monetary limit</x:v>
      </x:c>
      <x:c r="F19" s="10"/>
    </x:row>
    <x:row r="20" ht="22" customHeight="1">
      <x:c r="A20" s="10" t="str">
        <x:v>Flash share of simple generation bill</x:v>
      </x:c>
      <x:c r="B20" s="30" t="n">
        <x:v>0</x:v>
      </x:c>
      <x:c r="C20" s="10"/>
      <x:c r="D20" s="10"/>
      <x:c r="E20" s="10" t="str">
        <x:v>Assumed Lite route</x:v>
      </x:c>
      <x:c r="F20" s="10"/>
    </x:row>
    <x:row r="21" ht="22" customHeight="1">
      <x:c r="A21" s="10" t="str">
        <x:v>Flash share of procedural generation bill</x:v>
      </x:c>
      <x:c r="B21" s="30" t="n">
        <x:v>0.8</x:v>
      </x:c>
      <x:c r="C21" s="10"/>
      <x:c r="D21" s="10"/>
      <x:c r="E21" s="10" t="str">
        <x:v>Assumed bill share, remaining portion Lite</x:v>
      </x:c>
      <x:c r="F21" s="10"/>
    </x:row>
    <x:row r="22" ht="22" customHeight="1">
      <x:c r="A22" s="10" t="str">
        <x:v>Flash share of difficult generation bill</x:v>
      </x:c>
      <x:c r="B22" s="30" t="n">
        <x:v>0.9</x:v>
      </x:c>
      <x:c r="C22" s="10"/>
      <x:c r="D22" s="10"/>
      <x:c r="E22" s="10" t="str">
        <x:v>Assumed bill share, remaining portion Lite</x:v>
      </x:c>
      <x:c r="F22" s="10"/>
    </x:row>
    <x:row r="23" ht="22" customHeight="1">
      <x:c r="A23" s="10" t="str">
        <x:v>Extra generation attempt allowance</x:v>
      </x:c>
      <x:c r="B23" s="30" t="n">
        <x:v>0.1</x:v>
      </x:c>
      <x:c r="C23" s="10"/>
      <x:c r="D23" s="10"/>
      <x:c r="E23" s="10" t="str">
        <x:v>Bill uplift for failures/recovery, not escalation already in rates</x:v>
      </x:c>
      <x:c r="F23" s="10"/>
    </x:row>
    <x:row r="24" ht="22" customHeight="1">
      <x:c r="A24" s="10" t="str">
        <x:v>Additional evaluation/test generation allowance</x:v>
      </x:c>
      <x:c r="B24" s="30" t="n">
        <x:v>0.05</x:v>
      </x:c>
      <x:c r="C24" s="10"/>
      <x:c r="D24" s="10"/>
      <x:c r="E24" s="10" t="str">
        <x:v>Separate from user questions</x:v>
      </x:c>
      <x:c r="F24" s="10"/>
    </x:row>
    <x:row r="25" ht="22" customHeight="1">
      <x:c r="A25" s="10" t="str">
        <x:v>Embedding input tokens per user query</x:v>
      </x:c>
      <x:c r="B25" s="29" t="n">
        <x:v>200</x:v>
      </x:c>
      <x:c r="C25" s="10"/>
      <x:c r="D25" s="10"/>
      <x:c r="E25" s="10" t="str">
        <x:v>Aggregate over retrieval calls, includes multi-query allowance</x:v>
      </x:c>
      <x:c r="F25" s="10"/>
    </x:row>
    <x:row r="26" ht="22" customHeight="1">
      <x:c r="A26" s="10" t="str">
        <x:v>Embedding USD per million tokens</x:v>
      </x:c>
      <x:c r="B26" s="31" t="n">
        <x:v>0.2</x:v>
      </x:c>
      <x:c r="C26" s="10"/>
      <x:c r="D26" s="10"/>
      <x:c r="E26" s="10" t="str">
        <x:v>Text-only standard pricing</x:v>
      </x:c>
      <x:c r="F26" s="10" t="str">
        <x:v>https://ai.google.dev/gemini-api/docs/pricing</x:v>
      </x:c>
    </x:row>
    <x:row r="27" ht="22" customHeight="1">
      <x:c r="A27" s="10" t="str">
        <x:v>Jev input tokens per user query</x:v>
      </x:c>
      <x:c r="B27" s="29" t="n">
        <x:v>8000</x:v>
      </x:c>
      <x:c r="C27" s="10"/>
      <x:c r="D27" s="10"/>
      <x:c r="E27" s="10" t="str">
        <x:v>Aggregate across enabled decisions, assumed</x:v>
      </x:c>
      <x:c r="F27" s="10"/>
    </x:row>
    <x:row r="28" ht="22" customHeight="1">
      <x:c r="A28" s="10" t="str">
        <x:v>Jev USD per million input tokens</x:v>
      </x:c>
      <x:c r="B28" s="31" t="n">
        <x:v>0.042</x:v>
      </x:c>
      <x:c r="C28" s="10"/>
      <x:c r="D28" s="10"/>
      <x:c r="E28" s="10" t="str">
        <x:v>Set Jev tokens to zero if disabled</x:v>
      </x:c>
      <x:c r="F28" s="10" t="str">
        <x:v>https://docs.typesafe.ai/models</x:v>
      </x:c>
    </x:row>
    <x:row r="29" ht="22" customHeight="1">
      <x:c r="A29" s="27" t="str">
        <x:v>Infrastructure and storage</x:v>
      </x:c>
      <x:c r="B29" s="28"/>
      <x:c r="C29" s="28"/>
      <x:c r="D29" s="10"/>
      <x:c r="E29" s="10"/>
      <x:c r="F29" s="10"/>
    </x:row>
    <x:row r="30" ht="22" customHeight="1">
      <x:c r="A30" s="10" t="str">
        <x:v>Render monthly USD</x:v>
      </x:c>
      <x:c r="B30" s="29" t="n">
        <x:v>25</x:v>
      </x:c>
      <x:c r="C30" s="10"/>
      <x:c r="D30" s="10"/>
      <x:c r="E30" s="10" t="str">
        <x:v>Standard 1 CPU / 2 GB allowance, shared API + worker</x:v>
      </x:c>
      <x:c r="F30" s="10" t="str">
        <x:v>https://render.com/articles/render-vs-railway</x:v>
      </x:c>
    </x:row>
    <x:row r="31" ht="22" customHeight="1">
      <x:c r="A31" s="10" t="str">
        <x:v>Supabase monthly USD</x:v>
      </x:c>
      <x:c r="B31" s="29" t="n">
        <x:v>30</x:v>
      </x:c>
      <x:c r="C31" s="10"/>
      <x:c r="D31" s="10"/>
      <x:c r="E31" s="10" t="str">
        <x:v>Pro + Small compute, net of included compute credit</x:v>
      </x:c>
      <x:c r="F31" s="10" t="str">
        <x:v>https://supabase.com/docs/guides/platform/manage-your-usage/compute</x:v>
      </x:c>
    </x:row>
    <x:row r="32" ht="22" customHeight="1">
      <x:c r="A32" s="10" t="str">
        <x:v>Redis monthly USD</x:v>
      </x:c>
      <x:c r="B32" s="29" t="n">
        <x:v>5</x:v>
      </x:c>
      <x:c r="C32" s="10"/>
      <x:c r="D32" s="10"/>
      <x:c r="E32" s="10" t="str">
        <x:v>Essentials starting price, region-dependent</x:v>
      </x:c>
      <x:c r="F32" s="10" t="str">
        <x:v>https://redis.io/pricing/</x:v>
      </x:c>
    </x:row>
    <x:row r="33" ht="22" customHeight="1">
      <x:c r="A33" s="10" t="str">
        <x:v>Total R2 GB including backup copies</x:v>
      </x:c>
      <x:c r="B33" s="29" t="n">
        <x:v>100</x:v>
      </x:c>
      <x:c r="C33" s="10"/>
      <x:c r="D33" s="10"/>
      <x:c r="E33" s="10" t="str">
        <x:v>Assume 50 GB originals + 50 GB backups until library known</x:v>
      </x:c>
      <x:c r="F33" s="10"/>
    </x:row>
    <x:row r="34" ht="22" customHeight="1">
      <x:c r="A34" s="10" t="str">
        <x:v>Included R2 storage GB</x:v>
      </x:c>
      <x:c r="B34" s="29" t="n">
        <x:v>10</x:v>
      </x:c>
      <x:c r="C34" s="10"/>
      <x:c r="D34" s="10"/>
      <x:c r="E34" s="10" t="str">
        <x:v>Standard storage allowance</x:v>
      </x:c>
      <x:c r="F34" s="10" t="str">
        <x:v>https://developers.cloudflare.com/r2/pricing/</x:v>
      </x:c>
    </x:row>
    <x:row r="35" ht="22" customHeight="1">
      <x:c r="A35" s="10" t="str">
        <x:v>R2 USD per GB-month</x:v>
      </x:c>
      <x:c r="B35" s="31" t="n">
        <x:v>0.015</x:v>
      </x:c>
      <x:c r="C35" s="10"/>
      <x:c r="D35" s="10"/>
      <x:c r="E35" s="10" t="str">
        <x:v>Operations assumed inside free allowances, no direct egress charge</x:v>
      </x:c>
      <x:c r="F35" s="10" t="str">
        <x:v>https://developers.cloudflare.com/r2/pricing/</x:v>
      </x:c>
    </x:row>
    <x:row r="36" ht="22" customHeight="1">
      <x:c r="A36" s="10" t="str">
        <x:v>Database disk GB</x:v>
      </x:c>
      <x:c r="B36" s="29" t="n">
        <x:v>8</x:v>
      </x:c>
      <x:c r="C36" s="10"/>
      <x:c r="D36" s="10"/>
      <x:c r="E36" s="10" t="str">
        <x:v>Initial budget assumption, size depends on corpus/history</x:v>
      </x:c>
      <x:c r="F36" s="10"/>
    </x:row>
    <x:row r="37" ht="22" customHeight="1">
      <x:c r="A37" s="10" t="str">
        <x:v>Included Supabase disk GB</x:v>
      </x:c>
      <x:c r="B37" s="29" t="n">
        <x:v>8</x:v>
      </x:c>
      <x:c r="C37" s="10"/>
      <x:c r="D37" s="10"/>
      <x:c r="E37" s="10" t="str">
        <x:v>Pro allowance</x:v>
      </x:c>
      <x:c r="F37" s="10" t="str">
        <x:v>https://supabase.com/pricing</x:v>
      </x:c>
    </x:row>
    <x:row r="38" ht="22" customHeight="1">
      <x:c r="A38" s="10" t="str">
        <x:v>Database USD per excess GB-month</x:v>
      </x:c>
      <x:c r="B38" s="31" t="n">
        <x:v>0.125</x:v>
      </x:c>
      <x:c r="C38" s="10"/>
      <x:c r="D38" s="10"/>
      <x:c r="E38" s="10" t="str">
        <x:v>General purpose disk</x:v>
      </x:c>
      <x:c r="F38" s="10" t="str">
        <x:v>https://supabase.com/pricing</x:v>
      </x:c>
    </x:row>
    <x:row r="39" ht="22" customHeight="1">
      <x:c r="A39" s="10" t="str">
        <x:v>Supabase egress GB per month</x:v>
      </x:c>
      <x:c r="B39" s="29" t="n">
        <x:v>100</x:v>
      </x:c>
      <x:c r="C39" s="10"/>
      <x:c r="D39" s="10"/>
      <x:c r="E39" s="10" t="str">
        <x:v>Provisional allowance, retrieved chunks consume bandwidth</x:v>
      </x:c>
      <x:c r="F39" s="10"/>
    </x:row>
    <x:row r="40" ht="22" customHeight="1">
      <x:c r="A40" s="10" t="str">
        <x:v>Included Supabase egress GB</x:v>
      </x:c>
      <x:c r="B40" s="29" t="n">
        <x:v>250</x:v>
      </x:c>
      <x:c r="C40" s="10"/>
      <x:c r="D40" s="10"/>
      <x:c r="E40" s="10" t="str">
        <x:v>Pro allowance</x:v>
      </x:c>
      <x:c r="F40" s="10" t="str">
        <x:v>https://supabase.com/pricing</x:v>
      </x:c>
    </x:row>
    <x:row r="41" ht="22" customHeight="1">
      <x:c r="A41" s="10" t="str">
        <x:v>Supabase USD per excess egress GB</x:v>
      </x:c>
      <x:c r="B41" s="31" t="n">
        <x:v>0.09</x:v>
      </x:c>
      <x:c r="C41" s="10"/>
      <x:c r="D41" s="10"/>
      <x:c r="E41" s="10" t="str">
        <x:v>Uncached egress</x:v>
      </x:c>
      <x:c r="F41" s="10" t="str">
        <x:v>https://supabase.com/pricing</x:v>
      </x:c>
    </x:row>
    <x:row r="42" ht="22" customHeight="1">
      <x:c r="A42" s="10" t="str">
        <x:v>Logs and uptime monitoring USD/month</x:v>
      </x:c>
      <x:c r="B42" s="29" t="n">
        <x:v>10</x:v>
      </x:c>
      <x:c r="C42" s="10"/>
      <x:c r="D42" s="10"/>
      <x:c r="E42" s="10" t="str">
        <x:v>Budget allowance, not a provider quote</x:v>
      </x:c>
      <x:c r="F42" s="10"/>
    </x:row>
    <x:row r="43" ht="22" customHeight="1">
      <x:c r="A43" s="10" t="str">
        <x:v>Render bandwidth/build extras INR/month</x:v>
      </x:c>
      <x:c r="B43" s="29" t="n">
        <x:v>200</x:v>
      </x:c>
      <x:c r="C43" s="10"/>
      <x:c r="D43" s="10"/>
      <x:c r="E43" s="10" t="str">
        <x:v>Allowance, validate workspace plan quotas</x:v>
      </x:c>
      <x:c r="F43" s="10"/>
    </x:row>
    <x:row r="44" ht="22" customHeight="1">
      <x:c r="A44" s="10" t="str">
        <x:v>Domain annual INR</x:v>
      </x:c>
      <x:c r="B44" s="29" t="n">
        <x:v>1500</x:v>
      </x:c>
      <x:c r="C44" s="10"/>
      <x:c r="D44" s="10"/>
      <x:c r="E44" s="10" t="str">
        <x:v>Renewal allowance, not a registrar quote</x:v>
      </x:c>
      <x:c r="F44" s="10"/>
    </x:row>
    <x:row r="45" ht="22" customHeight="1">
      <x:c r="A45" s="10" t="str">
        <x:v>Bookkeeping/billing administration INR/month</x:v>
      </x:c>
      <x:c r="B45" s="29" t="n">
        <x:v>1500</x:v>
      </x:c>
      <x:c r="C45" s="10"/>
      <x:c r="D45" s="10"/>
      <x:c r="E45" s="10" t="str">
        <x:v>Budget allowance, may be absorbed by organisation</x:v>
      </x:c>
      <x:c r="F45" s="10"/>
    </x:row>
    <x:row r="46" ht="22" customHeight="1">
      <x:c r="A46" s="27" t="str">
        <x:v>Documents and communications</x:v>
      </x:c>
      <x:c r="B46" s="28"/>
      <x:c r="C46" s="28"/>
      <x:c r="D46" s="10"/>
      <x:c r="E46" s="10"/>
      <x:c r="F46" s="10"/>
    </x:row>
    <x:row r="47" ht="22" customHeight="1">
      <x:c r="A47" s="10" t="str">
        <x:v>New documents per month</x:v>
      </x:c>
      <x:c r="B47" s="29" t="n">
        <x:v>100</x:v>
      </x:c>
      <x:c r="C47" s="10"/>
      <x:c r="D47" s="10"/>
      <x:c r="E47" s="10" t="str">
        <x:v>User upper estimate</x:v>
      </x:c>
      <x:c r="F47" s="10"/>
    </x:row>
    <x:row r="48" ht="22" customHeight="1">
      <x:c r="A48" s="10" t="str">
        <x:v>Pages per new document</x:v>
      </x:c>
      <x:c r="B48" s="29" t="n">
        <x:v>20</x:v>
      </x:c>
      <x:c r="C48" s="10"/>
      <x:c r="D48" s="10"/>
      <x:c r="E48" s="10" t="str">
        <x:v>Assumption pending library information</x:v>
      </x:c>
      <x:c r="F48" s="10"/>
    </x:row>
    <x:row r="49" ht="22" customHeight="1">
      <x:c r="A49" s="10" t="str">
        <x:v>Pages requiring OCR</x:v>
      </x:c>
      <x:c r="B49" s="30" t="n">
        <x:v>0.5</x:v>
      </x:c>
      <x:c r="C49" s="10"/>
      <x:c r="D49" s="10"/>
      <x:c r="E49" s="10" t="str">
        <x:v>Assumption pending library information</x:v>
      </x:c>
      <x:c r="F49" s="10"/>
    </x:row>
    <x:row r="50" ht="22" customHeight="1">
      <x:c r="A50" s="10" t="str">
        <x:v>OCR USD per 1,000 pages</x:v>
      </x:c>
      <x:c r="B50" s="29" t="n">
        <x:v>1.5</x:v>
      </x:c>
      <x:c r="C50" s="10"/>
      <x:c r="D50" s="10"/>
      <x:c r="E50" s="10" t="str">
        <x:v>Enterprise Document OCR, no advanced OCR add-ons</x:v>
      </x:c>
      <x:c r="F50" s="10" t="str">
        <x:v>https://cloud.google.com/document-ai</x:v>
      </x:c>
    </x:row>
    <x:row r="51" ht="22" customHeight="1">
      <x:c r="A51" s="10" t="str">
        <x:v>Native text tokens per page</x:v>
      </x:c>
      <x:c r="B51" s="29" t="n">
        <x:v>600</x:v>
      </x:c>
      <x:c r="C51" s="10"/>
      <x:c r="D51" s="10"/>
      <x:c r="E51" s="10" t="str">
        <x:v>Planning assumption</x:v>
      </x:c>
      <x:c r="F51" s="10"/>
    </x:row>
    <x:row r="52" ht="22" customHeight="1">
      <x:c r="A52" s="10" t="str">
        <x:v>Embedding overlap multiplier</x:v>
      </x:c>
      <x:c r="B52" s="29" t="n">
        <x:v>1.2</x:v>
      </x:c>
      <x:c r="C52" s="10"/>
      <x:c r="D52" s="10"/>
      <x:c r="E52" s="10" t="str">
        <x:v>Chunk overlaps and metadata allowance</x:v>
      </x:c>
      <x:c r="F52" s="10"/>
    </x:row>
    <x:row r="53" ht="22" customHeight="1">
      <x:c r="A53" s="10" t="str">
        <x:v>SMS per registered user per month</x:v>
      </x:c>
      <x:c r="B53" s="29" t="n">
        <x:v>1</x:v>
      </x:c>
      <x:c r="C53" s="10"/>
      <x:c r="D53" s="10"/>
      <x:c r="E53" s="10" t="str">
        <x:v>Login and important notifications, excludes WhatsApp logins</x:v>
      </x:c>
      <x:c r="F53" s="10"/>
    </x:row>
    <x:row r="54" ht="22" customHeight="1">
      <x:c r="A54" s="10" t="str">
        <x:v>SMS INR per single-part message</x:v>
      </x:c>
      <x:c r="B54" s="31" t="n">
        <x:v>0.25</x:v>
      </x:c>
      <x:c r="C54" s="10"/>
      <x:c r="D54" s="10"/>
      <x:c r="E54" s="10" t="str">
        <x:v>Low-volume OTP price, prepaid packs may affect cash timing</x:v>
      </x:c>
      <x:c r="F54" s="10" t="str">
        <x:v>https://msg91.com/in/pricing/otp</x:v>
      </x:c>
    </x:row>
    <x:row r="55" ht="22" customHeight="1">
      <x:c r="A55" s="10" t="str">
        <x:v>WhatsApp messages per user per month</x:v>
      </x:c>
      <x:c r="B55" s="29" t="n">
        <x:v>4</x:v>
      </x:c>
      <x:c r="C55" s="10"/>
      <x:c r="D55" s="10"/>
      <x:c r="E55" s="10" t="str">
        <x:v>Login/important utility notifications only</x:v>
      </x:c>
      <x:c r="F55" s="10"/>
    </x:row>
    <x:row r="56" ht="22" customHeight="1">
      <x:c r="A56" s="10" t="str">
        <x:v>WhatsApp INR per message allowance</x:v>
      </x:c>
      <x:c r="B56" s="31" t="n">
        <x:v>0.2</x:v>
      </x:c>
      <x:c r="C56" s="10"/>
      <x:c r="D56" s="10"/>
      <x:c r="E56" s="10" t="str">
        <x:v>Provisional utility/auth allowance, verify selected rate card</x:v>
      </x:c>
      <x:c r="F56" s="10"/>
    </x:row>
    <x:row r="57" ht="22" customHeight="1">
      <x:c r="A57" s="10" t="str">
        <x:v>WhatsApp provider INR per month</x:v>
      </x:c>
      <x:c r="B57" s="29" t="n">
        <x:v>500</x:v>
      </x:c>
      <x:c r="C57" s="10"/>
      <x:c r="D57" s="10"/>
      <x:c r="E57" s="10" t="str">
        <x:v>MSG91 published fee after introductory period</x:v>
      </x:c>
      <x:c r="F57" s="10" t="str">
        <x:v>https://msg91.com/in/pricing/whatsapp</x:v>
      </x:c>
    </x:row>
    <x:row r="58" ht="22" customHeight="1">
      <x:c r="A58" s="10" t="str">
        <x:v>Emails per registered user per month</x:v>
      </x:c>
      <x:c r="B58" s="29" t="n">
        <x:v>6</x:v>
      </x:c>
      <x:c r="C58" s="10"/>
      <x:c r="D58" s="10"/>
      <x:c r="E58" s="10" t="str">
        <x:v>Login and important notifications</x:v>
      </x:c>
      <x:c r="F58" s="10"/>
    </x:row>
    <x:row r="59" ht="22" customHeight="1">
      <x:c r="A59" s="10" t="str">
        <x:v>Email USD per 1,000 sends</x:v>
      </x:c>
      <x:c r="B59" s="31" t="n">
        <x:v>0.16</x:v>
      </x:c>
      <x:c r="C59" s="10"/>
      <x:c r="D59" s="10"/>
      <x:c r="E59" s="10" t="str">
        <x:v>SES Essentials, small messages without attachments</x:v>
      </x:c>
      <x:c r="F59" s="10" t="str">
        <x:v>https://aws.amazon.com/ses/pricing/</x:v>
      </x:c>
    </x:row>
    <x:row r="60" ht="22" customHeight="1">
      <x:c r="A60" s="10" t="str">
        <x:v>Analytics monthly INR</x:v>
      </x:c>
      <x:c r="B60" s="29" t="n">
        <x:v>0</x:v>
      </x:c>
      <x:c r="C60" s="10"/>
      <x:c r="D60" s="10"/>
      <x:c r="E60" s="10" t="str">
        <x:v>Selected events within free tier, no paid replay</x:v>
      </x:c>
      <x:c r="F60" s="10" t="str">
        <x:v>https://posthog.com/pricing</x:v>
      </x:c>
    </x:row>
    <x:row r="61" ht="22" customHeight="1">
      <x:c r="A61" s="27" t="str">
        <x:v>Cash allowances and payment collections</x:v>
      </x:c>
      <x:c r="B61" s="28"/>
      <x:c r="C61" s="28"/>
      <x:c r="D61" s="10"/>
      <x:c r="E61" s="10"/>
      <x:c r="F61" s="10"/>
    </x:row>
    <x:row r="62" ht="22" customHeight="1">
      <x:c r="A62" s="10" t="str">
        <x:v>Foreign payment fee allowance</x:v>
      </x:c>
      <x:c r="B62" s="30" t="n">
        <x:v>0.02</x:v>
      </x:c>
      <x:c r="C62" s="10"/>
      <x:c r="D62" s="10"/>
      <x:c r="E62" s="10" t="str">
        <x:v>Applied to USD-priced services only, conservative if locally billed</x:v>
      </x:c>
      <x:c r="F62" s="10"/>
    </x:row>
    <x:row r="63" ht="22" customHeight="1">
      <x:c r="A63" s="10" t="str">
        <x:v>Service GST/cash tax allowance</x:v>
      </x:c>
      <x:c r="B63" s="30" t="n">
        <x:v>0.18</x:v>
      </x:c>
      <x:c r="C63" s="10"/>
      <x:c r="D63" s="10"/>
      <x:c r="E63" s="10" t="str">
        <x:v>Planning allowance, not invoice-specific tax determination</x:v>
      </x:c>
      <x:c r="F63" s="10" t="str">
        <x:v>https://docs.cloud.google.com/billing/docs/resources/vat-overview</x:v>
      </x:c>
    </x:row>
    <x:row r="64" ht="22" customHeight="1">
      <x:c r="A64" s="10" t="str">
        <x:v>Budget reserve above estimated bills</x:v>
      </x:c>
      <x:c r="B64" s="30" t="n">
        <x:v>0.1</x:v>
      </x:c>
      <x:c r="C64" s="10"/>
      <x:c r="D64" s="10"/>
      <x:c r="E64" s="10" t="str">
        <x:v>Buffer, not an expected invoice charge</x:v>
      </x:c>
      <x:c r="F64" s="10"/>
    </x:row>
    <x:row r="65" ht="22" customHeight="1">
      <x:c r="A65" s="10" t="str">
        <x:v>Monthly receipts processed by gateway INR</x:v>
      </x:c>
      <x:c r="B65" s="32"/>
      <x:c r="C65" s="10"/>
      <x:c r="D65" s="10"/>
      <x:c r="E65" s="10" t="str">
        <x:v>Missing: enter gross online collections, not user count</x:v>
      </x:c>
      <x:c r="F65" s="10"/>
    </x:row>
    <x:row r="66" ht="22" customHeight="1">
      <x:c r="A66" s="10" t="str">
        <x:v>Gateway fee allowance</x:v>
      </x:c>
      <x:c r="B66" s="30" t="n">
        <x:v>0.0215</x:v>
      </x:c>
      <x:c r="C66" s="10"/>
      <x:c r="D66" s="10"/>
      <x:c r="E66" s="10" t="str">
        <x:v>Conservative published platform fee, confirm recurring mandate terms</x:v>
      </x:c>
      <x:c r="F66" s="10" t="str">
        <x:v>https://razorpay.com/pricing/</x:v>
      </x:c>
    </x:row>
    <x:row r="67" ht="22" customHeight="1">
      <x:c r="A67" s="10" t="str">
        <x:v>GST on gateway fees</x:v>
      </x:c>
      <x:c r="B67" s="30" t="n">
        <x:v>0.18</x:v>
      </x:c>
      <x:c r="C67" s="10"/>
      <x:c r="D67" s="10"/>
      <x:c r="E67" s="10" t="str">
        <x:v>GST applies to gateway fee, not entire collections</x:v>
      </x:c>
      <x:c r="F67" s="10" t="str">
        <x:v>https://razorpay.com/pricing/</x:v>
      </x:c>
    </x:row>
    <x:row r="68" ht="22" customHeight="1">
      <x:c r="A68" s="27" t="str">
        <x:v>Maintenance and support, separate from services</x:v>
      </x:c>
      <x:c r="B68" s="28"/>
      <x:c r="C68" s="28"/>
      <x:c r="D68" s="10"/>
      <x:c r="E68" s="10"/>
      <x:c r="F68" s="10"/>
    </x:row>
    <x:row r="69" ht="22" customHeight="1">
      <x:c r="A69" s="10" t="str">
        <x:v>Technical maintenance hours per month</x:v>
      </x:c>
      <x:c r="B69" s="29" t="n">
        <x:v>8</x:v>
      </x:c>
      <x:c r="C69" s="10"/>
      <x:c r="D69" s="10"/>
      <x:c r="E69" s="10" t="str">
        <x:v>Updates, incidents, billing/rate review and backups</x:v>
      </x:c>
      <x:c r="F69" s="10"/>
    </x:row>
    <x:row r="70" ht="22" customHeight="1">
      <x:c r="A70" s="10" t="str">
        <x:v>Technical maintenance INR/hour</x:v>
      </x:c>
      <x:c r="B70" s="29" t="n">
        <x:v>1500</x:v>
      </x:c>
      <x:c r="C70" s="10"/>
      <x:c r="D70" s="10"/>
      <x:c r="E70" s="10" t="str">
        <x:v>Planning rate, Indian contractor listings around USD 15/hour</x:v>
      </x:c>
      <x:c r="F70" s="10" t="str">
        <x:v>https://www.upwork.com/hire/indian-programmers/</x:v>
      </x:c>
    </x:row>
    <x:row r="71" ht="22" customHeight="1">
      <x:c r="A71" s="10" t="str">
        <x:v>Document curation minutes per new document</x:v>
      </x:c>
      <x:c r="B71" s="29" t="n">
        <x:v>10</x:v>
      </x:c>
      <x:c r="C71" s="10"/>
      <x:c r="D71" s="10"/>
      <x:c r="E71" s="10" t="str">
        <x:v>Metadata/checking, not formal legal review</x:v>
      </x:c>
      <x:c r="F71" s="10"/>
    </x:row>
    <x:row r="72" ht="22" customHeight="1">
      <x:c r="A72" s="10" t="str">
        <x:v>Document curation INR/hour</x:v>
      </x:c>
      <x:c r="B72" s="29" t="n">
        <x:v>750</x:v>
      </x:c>
      <x:c r="C72" s="10"/>
      <x:c r="D72" s="10"/>
      <x:c r="E72" s="10" t="str">
        <x:v>Budget assumption</x:v>
      </x:c>
      <x:c r="F72" s="10"/>
    </x:row>
    <x:row r="73" ht="22" customHeight="1">
      <x:c r="A73" s="10" t="str">
        <x:v>Registered users contacting support monthly</x:v>
      </x:c>
      <x:c r="B73" s="30" t="n">
        <x:v>0.05</x:v>
      </x:c>
      <x:c r="C73" s="10"/>
      <x:c r="D73" s="10"/>
      <x:c r="E73" s="10" t="str">
        <x:v>Assumed 5% contact rate</x:v>
      </x:c>
      <x:c r="F73" s="10"/>
    </x:row>
    <x:row r="74" ht="22" customHeight="1">
      <x:c r="A74" s="10" t="str">
        <x:v>Minutes per support contact</x:v>
      </x:c>
      <x:c r="B74" s="29" t="n">
        <x:v>10</x:v>
      </x:c>
      <x:c r="C74" s="10"/>
      <x:c r="D74" s="10"/>
      <x:c r="E74" s="10" t="str">
        <x:v>Budget assumption</x:v>
      </x:c>
      <x:c r="F74" s="10"/>
    </x:row>
    <x:row r="75" ht="22" customHeight="1">
      <x:c r="A75" s="10" t="str">
        <x:v>User support INR/hour</x:v>
      </x:c>
      <x:c r="B75" s="29" t="n">
        <x:v>500</x:v>
      </x:c>
      <x:c r="C75" s="10"/>
      <x:c r="D75" s="10"/>
      <x:c r="E75" s="10" t="str">
        <x:v>Planning rate, Indian listings USD 5–10/hour</x:v>
      </x:c>
      <x:c r="F75" s="10" t="str">
        <x:v>https://www.upwork.com/hire/customer-service-representatives/in/</x:v>
      </x:c>
    </x:row>
    <x:row r="76" ht="22" customHeight="1">
      <x:c r="A76" s="10" t="str">
        <x:v>Contractor tax allowance</x:v>
      </x:c>
      <x:c r="B76" s="30" t="n">
        <x:v>0.18</x:v>
      </x:c>
      <x:c r="C76" s="10"/>
      <x:c r="D76" s="10"/>
      <x:c r="E76" s="10" t="str">
        <x:v>Conservative cash allowance, set zero for own/in-house time</x:v>
      </x:c>
      <x:c r="F76" s="10"/>
    </x:row>
    <x:row r="77" ht="22" customHeight="1">
      <x:c r="A77" s="27" t="str">
        <x:v>Initial loading, separate from recurring run rate</x:v>
      </x:c>
      <x:c r="B77" s="28"/>
      <x:c r="C77" s="28"/>
      <x:c r="D77" s="10"/>
      <x:c r="E77" s="10"/>
      <x:c r="F77" s="10"/>
    </x:row>
    <x:row r="78" ht="22" customHeight="1">
      <x:c r="A78" s="10" t="str">
        <x:v>Initial corpus pages</x:v>
      </x:c>
      <x:c r="B78" s="29" t="n">
        <x:v>10000</x:v>
      </x:c>
      <x:c r="C78" s="10"/>
      <x:c r="D78" s="10"/>
      <x:c r="E78" s="10" t="str">
        <x:v>500 documents from user × assumed 20 pages each</x:v>
      </x:c>
      <x:c r="F78" s="10"/>
    </x:row>
    <x:row r="79" ht="22" customHeight="1">
      <x:c r="A79" s="10" t="str">
        <x:v>Initial documents</x:v>
      </x:c>
      <x:c r="B79" s="29" t="n">
        <x:v>500</x:v>
      </x:c>
      <x:c r="C79" s="10"/>
      <x:c r="D79" s="10"/>
      <x:c r="E79" s="10" t="str">
        <x:v>User estimate</x:v>
      </x:c>
      <x:c r="F79" s="10"/>
    </x:row>
    <x:row r="80" ht="22" customHeight="1">
      <x:c r="A80" s="10" t="str">
        <x:v>One-time SMS DLT allowance INR</x:v>
      </x:c>
      <x:c r="B80" s="29" t="n">
        <x:v>5900</x:v>
      </x:c>
      <x:c r="C80" s="10"/>
      <x:c r="D80" s="10"/>
      <x:c r="E80" s="10" t="str">
        <x:v>Published registration amount, includes GST</x:v>
      </x:c>
      <x:c r="F80" s="10" t="str">
        <x:v>https://web.msg91.com/guide/steps-for-dlt-process-registration</x:v>
      </x:c>
    </x:row>
    <x:row r="81" ht="22" customHeight="1">
      <x:c r="A81" s="10" t="str">
        <x:v>Months in annual steady run rate</x:v>
      </x:c>
      <x:c r="B81" s="29" t="n">
        <x:v>12</x:v>
      </x:c>
      <x:c r="C81" s="10"/>
      <x:c r="D81" s="10"/>
      <x:c r="E81" s="10" t="str">
        <x:v>Annual total at full usage, not first-year growth spend</x:v>
      </x:c>
      <x:c r="F81" s="10"/>
    </x:row>
  </x:sheetData>
  <x:pageMargins left="0.7" right="0.7" top="0.75" bottom="0.75" header="0.3" footer="0.3"/>
</x:worksheet>
</file>